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0c5fb6c2ca37245/Documenti/AFOLABI/Project/Churn Analysis/"/>
    </mc:Choice>
  </mc:AlternateContent>
  <xr:revisionPtr revIDLastSave="29" documentId="8_{3EDACAAC-4BBA-4A20-84F7-1E17FAFA40A4}" xr6:coauthVersionLast="47" xr6:coauthVersionMax="47" xr10:uidLastSave="{2316BE9B-4F3F-47AC-A7F4-943D07154075}"/>
  <bookViews>
    <workbookView xWindow="-103" yWindow="-103" windowWidth="25920" windowHeight="16629" xr2:uid="{E0B89D06-8F62-4FB6-9F40-BCB5871FDF13}"/>
  </bookViews>
  <sheets>
    <sheet name="Dataset" sheetId="2" r:id="rId1"/>
    <sheet name="cancellation by plantype" sheetId="5" r:id="rId2"/>
    <sheet name="Dashboard" sheetId="8" r:id="rId3"/>
  </sheets>
  <definedNames>
    <definedName name="_xlnm._FilterDatabase" localSheetId="0" hidden="1">Dataset!$A$19:$C$21</definedName>
    <definedName name="churn">Dataset!#REF!</definedName>
    <definedName name="Churnrate">Dataset!$B$44</definedName>
    <definedName name="expensive">Dataset!$B$38</definedName>
    <definedName name="MRR">Dataset!#REF!</definedName>
    <definedName name="none">Dataset!$B$40</definedName>
    <definedName name="support">Dataset!$B$39</definedName>
    <definedName name="technicalbugs">Dataset!$B$37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2" l="1"/>
  <c r="B45" i="2"/>
  <c r="B50" i="2"/>
  <c r="B49" i="2"/>
  <c r="B60" i="2"/>
  <c r="B59" i="2"/>
  <c r="B58" i="2"/>
  <c r="C20" i="2"/>
  <c r="C21" i="2"/>
  <c r="B21" i="2"/>
  <c r="B20" i="2"/>
  <c r="B48" i="2"/>
  <c r="B47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2" i="2"/>
  <c r="N2" i="2"/>
  <c r="N1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2" i="2"/>
  <c r="B40" i="2"/>
  <c r="B39" i="2"/>
  <c r="B38" i="2"/>
  <c r="B37" i="2"/>
  <c r="B44" i="2"/>
</calcChain>
</file>

<file path=xl/sharedStrings.xml><?xml version="1.0" encoding="utf-8"?>
<sst xmlns="http://schemas.openxmlformats.org/spreadsheetml/2006/main" count="89" uniqueCount="41">
  <si>
    <t xml:space="preserve"> </t>
  </si>
  <si>
    <t>CustomerID</t>
  </si>
  <si>
    <t>JoinDate</t>
  </si>
  <si>
    <t>PlanType</t>
  </si>
  <si>
    <t>MonthlyFee</t>
  </si>
  <si>
    <t>SupportTickets</t>
  </si>
  <si>
    <t>UsageHours</t>
  </si>
  <si>
    <t>LastLoginDaysAgo</t>
  </si>
  <si>
    <t>Status</t>
  </si>
  <si>
    <t>ChurnReason</t>
  </si>
  <si>
    <t>Basic</t>
  </si>
  <si>
    <t>Active</t>
  </si>
  <si>
    <t>None</t>
  </si>
  <si>
    <t>Premium</t>
  </si>
  <si>
    <t>Cancelled</t>
  </si>
  <si>
    <t>Technical Bugs</t>
  </si>
  <si>
    <t>Standard</t>
  </si>
  <si>
    <t>Too Expensive</t>
  </si>
  <si>
    <t>Poor Support</t>
  </si>
  <si>
    <t>Metric</t>
  </si>
  <si>
    <t>Active Users</t>
  </si>
  <si>
    <t>Cancelled users</t>
  </si>
  <si>
    <t>Avg Support Ticket</t>
  </si>
  <si>
    <t>Avg Usage Hours</t>
  </si>
  <si>
    <t>Row Labels</t>
  </si>
  <si>
    <t>Grand Total</t>
  </si>
  <si>
    <t>Count of Status</t>
  </si>
  <si>
    <t>Percentage</t>
  </si>
  <si>
    <t>ChurnRate</t>
  </si>
  <si>
    <t>Tickets_Active</t>
  </si>
  <si>
    <t>UsageHours_Cancelled</t>
  </si>
  <si>
    <t>UsageHours_Active</t>
  </si>
  <si>
    <t>Tickets_Cancelled</t>
  </si>
  <si>
    <t>Total Customer</t>
  </si>
  <si>
    <t>Total Montly Fee</t>
  </si>
  <si>
    <t>Avg SupportTicket</t>
  </si>
  <si>
    <t>Avg. UsageHours</t>
  </si>
  <si>
    <t>Total Cancelled</t>
  </si>
  <si>
    <t>MRR for Cancelled</t>
  </si>
  <si>
    <t>MRR for Active</t>
  </si>
  <si>
    <t>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</si>
</sst>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UsageHours</a:t>
            </a:r>
            <a:r>
              <a:rPr lang="en-US" baseline="0"/>
              <a:t> Vs SupportTickets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Dataset!$M$1</c:f>
              <c:strCache>
                <c:ptCount val="1"/>
                <c:pt idx="0">
                  <c:v>Tickets_Active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xVal>
            <c:strRef>
              <c:f>Dataset!$L$2:$L$16</c:f>
              <c:strCache>
                <c:ptCount val="15"/>
                <c:pt idx="0">
                  <c:v>45</c:v>
                </c:pt>
                <c:pt idx="2">
                  <c:v>85</c:v>
                </c:pt>
                <c:pt idx="4">
                  <c:v>150</c:v>
                </c:pt>
                <c:pt idx="5">
                  <c:v>90</c:v>
                </c:pt>
                <c:pt idx="7">
                  <c:v>65</c:v>
                </c:pt>
                <c:pt idx="8">
                  <c:v>190</c:v>
                </c:pt>
                <c:pt idx="10">
                  <c:v>75</c:v>
                </c:pt>
                <c:pt idx="12">
                  <c:v>50</c:v>
                </c:pt>
                <c:pt idx="14">
                  <c:v>165</c:v>
                </c:pt>
              </c:strCache>
            </c:strRef>
          </c:xVal>
          <c:yVal>
            <c:numRef>
              <c:f>Dataset!$M$2:$M$16</c:f>
              <c:numCache>
                <c:formatCode>General</c:formatCode>
                <c:ptCount val="1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2-4734-A9A4-1E2BF31D8283}"/>
            </c:ext>
          </c:extLst>
        </c:ser>
        <c:ser>
          <c:idx val="1"/>
          <c:order val="1"/>
          <c:tx>
            <c:strRef>
              <c:f>Dataset!$O$1</c:f>
              <c:strCache>
                <c:ptCount val="1"/>
                <c:pt idx="0">
                  <c:v>Tickets_Cancelled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xVal>
            <c:strRef>
              <c:f>Dataset!$N$2:$N$16</c:f>
              <c:strCache>
                <c:ptCount val="14"/>
                <c:pt idx="1">
                  <c:v>120</c:v>
                </c:pt>
                <c:pt idx="3">
                  <c:v>12</c:v>
                </c:pt>
                <c:pt idx="6">
                  <c:v>5</c:v>
                </c:pt>
                <c:pt idx="9">
                  <c:v>8</c:v>
                </c:pt>
                <c:pt idx="11">
                  <c:v>40</c:v>
                </c:pt>
                <c:pt idx="13">
                  <c:v>30</c:v>
                </c:pt>
              </c:strCache>
            </c:strRef>
          </c:xVal>
          <c:yVal>
            <c:numRef>
              <c:f>Dataset!$O$2:$O$16</c:f>
              <c:numCache>
                <c:formatCode>General</c:formatCode>
                <c:ptCount val="15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11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42-4734-A9A4-1E2BF31D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76344"/>
        <c:axId val="537682104"/>
      </c:scatterChart>
      <c:valAx>
        <c:axId val="537676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682104"/>
        <c:crosses val="autoZero"/>
        <c:crossBetween val="midCat"/>
      </c:valAx>
      <c:valAx>
        <c:axId val="53768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676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 Support Ticket Vs Avg Usage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Dataset!$A$20</c:f>
              <c:strCache>
                <c:ptCount val="1"/>
                <c:pt idx="0">
                  <c:v>Avg Support Ticket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Dataset!$B$19:$C$19</c:f>
              <c:strCache>
                <c:ptCount val="2"/>
                <c:pt idx="0">
                  <c:v>Active Users</c:v>
                </c:pt>
                <c:pt idx="1">
                  <c:v>Cancelled users</c:v>
                </c:pt>
              </c:strCache>
            </c:strRef>
          </c:cat>
          <c:val>
            <c:numRef>
              <c:f>Dataset!$B$20:$C$20</c:f>
              <c:numCache>
                <c:formatCode>General</c:formatCode>
                <c:ptCount val="2"/>
                <c:pt idx="0">
                  <c:v>1.78</c:v>
                </c:pt>
                <c:pt idx="1">
                  <c:v>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8-4367-856C-677B0971BF38}"/>
            </c:ext>
          </c:extLst>
        </c:ser>
        <c:ser>
          <c:idx val="1"/>
          <c:order val="1"/>
          <c:tx>
            <c:strRef>
              <c:f>Dataset!$A$21</c:f>
              <c:strCache>
                <c:ptCount val="1"/>
                <c:pt idx="0">
                  <c:v>Avg Usage Hours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Dataset!$B$19:$C$19</c:f>
              <c:strCache>
                <c:ptCount val="2"/>
                <c:pt idx="0">
                  <c:v>Active Users</c:v>
                </c:pt>
                <c:pt idx="1">
                  <c:v>Cancelled users</c:v>
                </c:pt>
              </c:strCache>
            </c:strRef>
          </c:cat>
          <c:val>
            <c:numRef>
              <c:f>Dataset!$B$21:$C$21</c:f>
              <c:numCache>
                <c:formatCode>General</c:formatCode>
                <c:ptCount val="2"/>
                <c:pt idx="0">
                  <c:v>101.67</c:v>
                </c:pt>
                <c:pt idx="1">
                  <c:v>35.83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8-4367-856C-677B0971BF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6005256"/>
        <c:axId val="766006696"/>
      </c:barChart>
      <c:catAx>
        <c:axId val="76600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06696"/>
        <c:crosses val="autoZero"/>
        <c:auto val="1"/>
        <c:lblAlgn val="ctr"/>
        <c:lblOffset val="100"/>
        <c:noMultiLvlLbl val="0"/>
      </c:catAx>
      <c:valAx>
        <c:axId val="76600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0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ChurnReason by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Dataset!$B$36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03-4280-8CD7-C4F6FE6EC00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B03-4280-8CD7-C4F6FE6EC00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15000"/>
                      <a:satMod val="180000"/>
                    </a:schemeClr>
                  </a:gs>
                  <a:gs pos="50000">
                    <a:schemeClr val="accent3">
                      <a:shade val="45000"/>
                      <a:satMod val="170000"/>
                    </a:schemeClr>
                  </a:gs>
                  <a:gs pos="70000">
                    <a:schemeClr val="accent3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3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B03-4280-8CD7-C4F6FE6EC00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15000"/>
                      <a:satMod val="180000"/>
                    </a:schemeClr>
                  </a:gs>
                  <a:gs pos="50000">
                    <a:schemeClr val="accent4">
                      <a:shade val="45000"/>
                      <a:satMod val="170000"/>
                    </a:schemeClr>
                  </a:gs>
                  <a:gs pos="70000">
                    <a:schemeClr val="accent4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4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B03-4280-8CD7-C4F6FE6EC0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Dataset!$A$37:$A$40</c:f>
              <c:strCache>
                <c:ptCount val="4"/>
                <c:pt idx="0">
                  <c:v>Technical Bugs</c:v>
                </c:pt>
                <c:pt idx="1">
                  <c:v>Too Expensive</c:v>
                </c:pt>
                <c:pt idx="2">
                  <c:v>Poor Support</c:v>
                </c:pt>
                <c:pt idx="3">
                  <c:v>None</c:v>
                </c:pt>
              </c:strCache>
            </c:strRef>
          </c:cat>
          <c:val>
            <c:numRef>
              <c:f>Dataset!$B$37:$B$40</c:f>
              <c:numCache>
                <c:formatCode>0%</c:formatCode>
                <c:ptCount val="4"/>
                <c:pt idx="0">
                  <c:v>0.13333333333333333</c:v>
                </c:pt>
                <c:pt idx="1">
                  <c:v>0.13333333333333333</c:v>
                </c:pt>
                <c:pt idx="2">
                  <c:v>0.13333333333333333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3-4280-8CD7-C4F6FE6EC0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Dataset!$B$57</c:f>
              <c:strCache>
                <c:ptCount val="1"/>
                <c:pt idx="0">
                  <c:v>Avg. UsageHours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Dataset!$A$58:$A$60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Dataset!$B$58:$B$60</c:f>
              <c:numCache>
                <c:formatCode>General</c:formatCode>
                <c:ptCount val="3"/>
                <c:pt idx="0">
                  <c:v>24</c:v>
                </c:pt>
                <c:pt idx="1">
                  <c:v>69</c:v>
                </c:pt>
                <c:pt idx="2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A-4AC5-A79E-33D0E11510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4726080"/>
        <c:axId val="904725720"/>
      </c:lineChart>
      <c:catAx>
        <c:axId val="90472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725720"/>
        <c:crosses val="autoZero"/>
        <c:auto val="1"/>
        <c:lblAlgn val="ctr"/>
        <c:lblOffset val="100"/>
        <c:noMultiLvlLbl val="0"/>
      </c:catAx>
      <c:valAx>
        <c:axId val="90472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72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[customer-churn-analysis.xlsx]cancellation by plantype!PivotTable3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cancellation by Plantype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'cancellation by plantype'!$B$3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'cancellation by plantype'!$A$4:$A$7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'cancellation by plantype'!$B$4:$B$7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6-45AC-AA4F-6F9317DCA1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74507696"/>
        <c:axId val="774509136"/>
      </c:barChart>
      <c:catAx>
        <c:axId val="77450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509136"/>
        <c:crosses val="autoZero"/>
        <c:auto val="1"/>
        <c:lblAlgn val="ctr"/>
        <c:lblOffset val="100"/>
        <c:noMultiLvlLbl val="0"/>
      </c:catAx>
      <c:valAx>
        <c:axId val="774509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45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 Support Ticket Vs Avg Usage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Dataset!$A$20</c:f>
              <c:strCache>
                <c:ptCount val="1"/>
                <c:pt idx="0">
                  <c:v>Avg Support Ticket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Dataset!$B$19:$C$19</c:f>
              <c:strCache>
                <c:ptCount val="2"/>
                <c:pt idx="0">
                  <c:v>Active Users</c:v>
                </c:pt>
                <c:pt idx="1">
                  <c:v>Cancelled users</c:v>
                </c:pt>
              </c:strCache>
            </c:strRef>
          </c:cat>
          <c:val>
            <c:numRef>
              <c:f>Dataset!$B$20:$C$20</c:f>
              <c:numCache>
                <c:formatCode>General</c:formatCode>
                <c:ptCount val="2"/>
                <c:pt idx="0">
                  <c:v>1.78</c:v>
                </c:pt>
                <c:pt idx="1">
                  <c:v>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5-4285-ABF4-58B8C046F0DC}"/>
            </c:ext>
          </c:extLst>
        </c:ser>
        <c:ser>
          <c:idx val="1"/>
          <c:order val="1"/>
          <c:tx>
            <c:strRef>
              <c:f>Dataset!$A$21</c:f>
              <c:strCache>
                <c:ptCount val="1"/>
                <c:pt idx="0">
                  <c:v>Avg Usage Hours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Dataset!$B$19:$C$19</c:f>
              <c:strCache>
                <c:ptCount val="2"/>
                <c:pt idx="0">
                  <c:v>Active Users</c:v>
                </c:pt>
                <c:pt idx="1">
                  <c:v>Cancelled users</c:v>
                </c:pt>
              </c:strCache>
            </c:strRef>
          </c:cat>
          <c:val>
            <c:numRef>
              <c:f>Dataset!$B$21:$C$21</c:f>
              <c:numCache>
                <c:formatCode>General</c:formatCode>
                <c:ptCount val="2"/>
                <c:pt idx="0">
                  <c:v>101.67</c:v>
                </c:pt>
                <c:pt idx="1">
                  <c:v>35.83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55-4285-ABF4-58B8C046F0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6005256"/>
        <c:axId val="766006696"/>
      </c:barChart>
      <c:catAx>
        <c:axId val="76600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06696"/>
        <c:crosses val="autoZero"/>
        <c:auto val="1"/>
        <c:lblAlgn val="ctr"/>
        <c:lblOffset val="100"/>
        <c:noMultiLvlLbl val="0"/>
      </c:catAx>
      <c:valAx>
        <c:axId val="76600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0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ChurnReason by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Dataset!$B$36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AF-4773-B436-E95095B9C2F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AF-4773-B436-E95095B9C2F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15000"/>
                      <a:satMod val="180000"/>
                    </a:schemeClr>
                  </a:gs>
                  <a:gs pos="50000">
                    <a:schemeClr val="accent3">
                      <a:shade val="45000"/>
                      <a:satMod val="170000"/>
                    </a:schemeClr>
                  </a:gs>
                  <a:gs pos="70000">
                    <a:schemeClr val="accent3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3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AF-4773-B436-E95095B9C2F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15000"/>
                      <a:satMod val="180000"/>
                    </a:schemeClr>
                  </a:gs>
                  <a:gs pos="50000">
                    <a:schemeClr val="accent4">
                      <a:shade val="45000"/>
                      <a:satMod val="170000"/>
                    </a:schemeClr>
                  </a:gs>
                  <a:gs pos="70000">
                    <a:schemeClr val="accent4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4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AF-4773-B436-E95095B9C2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Dataset!$A$37:$A$40</c:f>
              <c:strCache>
                <c:ptCount val="4"/>
                <c:pt idx="0">
                  <c:v>Technical Bugs</c:v>
                </c:pt>
                <c:pt idx="1">
                  <c:v>Too Expensive</c:v>
                </c:pt>
                <c:pt idx="2">
                  <c:v>Poor Support</c:v>
                </c:pt>
                <c:pt idx="3">
                  <c:v>None</c:v>
                </c:pt>
              </c:strCache>
            </c:strRef>
          </c:cat>
          <c:val>
            <c:numRef>
              <c:f>Dataset!$B$37:$B$40</c:f>
              <c:numCache>
                <c:formatCode>0%</c:formatCode>
                <c:ptCount val="4"/>
                <c:pt idx="0">
                  <c:v>0.13333333333333333</c:v>
                </c:pt>
                <c:pt idx="1">
                  <c:v>0.13333333333333333</c:v>
                </c:pt>
                <c:pt idx="2">
                  <c:v>0.13333333333333333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AF-4773-B436-E95095B9C2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[customer-churn-analysis.xlsx]cancellation by plantype!PivotTable3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cancellation by Plantype</a:t>
            </a:r>
          </a:p>
        </c:rich>
      </c:tx>
      <c:layout>
        <c:manualLayout>
          <c:xMode val="edge"/>
          <c:yMode val="edge"/>
          <c:x val="9.3744531933508156E-4"/>
          <c:y val="0.17027552847932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'cancellation by plantype'!$B$3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'cancellation by plantype'!$A$4:$A$7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'cancellation by plantype'!$B$4:$B$7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2-43BA-8D9E-0D777D610E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74507696"/>
        <c:axId val="774509136"/>
      </c:barChart>
      <c:catAx>
        <c:axId val="77450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509136"/>
        <c:crosses val="autoZero"/>
        <c:auto val="1"/>
        <c:lblAlgn val="ctr"/>
        <c:lblOffset val="100"/>
        <c:noMultiLvlLbl val="0"/>
      </c:catAx>
      <c:valAx>
        <c:axId val="7745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5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Dataset!$B$57</c:f>
              <c:strCache>
                <c:ptCount val="1"/>
                <c:pt idx="0">
                  <c:v>Avg. UsageHours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Dataset!$A$58:$A$60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Dataset!$B$58:$B$60</c:f>
              <c:numCache>
                <c:formatCode>General</c:formatCode>
                <c:ptCount val="3"/>
                <c:pt idx="0">
                  <c:v>24</c:v>
                </c:pt>
                <c:pt idx="1">
                  <c:v>69</c:v>
                </c:pt>
                <c:pt idx="2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F-41E8-992A-31C561F6E6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4726080"/>
        <c:axId val="904725720"/>
      </c:lineChart>
      <c:catAx>
        <c:axId val="90472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725720"/>
        <c:crosses val="autoZero"/>
        <c:auto val="1"/>
        <c:lblAlgn val="ctr"/>
        <c:lblOffset val="100"/>
        <c:noMultiLvlLbl val="0"/>
      </c:catAx>
      <c:valAx>
        <c:axId val="90472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72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24492</xdr:colOff>
      <xdr:row>16</xdr:row>
      <xdr:rowOff>174172</xdr:rowOff>
    </xdr:from>
    <xdr:to>
      <xdr:col>15</xdr:col>
      <xdr:colOff>10885</xdr:colOff>
      <xdr:row>31</xdr:row>
      <xdr:rowOff>185056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C7EE82-3DC2-5BA1-AC19-1E140FA9C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898070</xdr:colOff>
      <xdr:row>18</xdr:row>
      <xdr:rowOff>0</xdr:rowOff>
    </xdr:from>
    <xdr:to>
      <xdr:col>10</xdr:col>
      <xdr:colOff>21771</xdr:colOff>
      <xdr:row>32</xdr:row>
      <xdr:rowOff>179614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4DF0A9-6860-44C9-8DCD-499A16DA2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892629</xdr:colOff>
      <xdr:row>35</xdr:row>
      <xdr:rowOff>16328</xdr:rowOff>
    </xdr:from>
    <xdr:to>
      <xdr:col>10</xdr:col>
      <xdr:colOff>32657</xdr:colOff>
      <xdr:row>50</xdr:row>
      <xdr:rowOff>16329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22C6A0-EA0D-44D7-A0CF-3011A958B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13606</xdr:colOff>
      <xdr:row>56</xdr:row>
      <xdr:rowOff>5443</xdr:rowOff>
    </xdr:from>
    <xdr:to>
      <xdr:col>10</xdr:col>
      <xdr:colOff>10884</xdr:colOff>
      <xdr:row>70</xdr:row>
      <xdr:rowOff>157843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E794C0-CD9F-EC77-E11F-18331ECD8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179614</xdr:colOff>
      <xdr:row>13</xdr:row>
      <xdr:rowOff>5442</xdr:rowOff>
    </xdr:from>
    <xdr:to>
      <xdr:col>12</xdr:col>
      <xdr:colOff>179614</xdr:colOff>
      <xdr:row>27</xdr:row>
      <xdr:rowOff>157842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250E3-93DB-47E7-C62F-7EF126695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21771</xdr:rowOff>
    </xdr:from>
    <xdr:to>
      <xdr:col>24</xdr:col>
      <xdr:colOff>16329</xdr:colOff>
      <xdr:row>5</xdr:row>
      <xdr:rowOff>157842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018CB4A-C832-C84F-20F8-075787E25AFC}"/>
            </a:ext>
          </a:extLst>
        </xdr:cNvPr>
        <xdr:cNvSpPr/>
      </xdr:nvSpPr>
      <xdr:spPr>
        <a:xfrm>
          <a:off x="0" y="21771"/>
          <a:ext cx="15691758" cy="1061357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600" b="1">
              <a:solidFill>
                <a:schemeClr val="accent5">
                  <a:lumMod val="75000"/>
                </a:schemeClr>
              </a:solidFill>
            </a:rPr>
            <a:t>Customer Churn Analysis</a:t>
          </a:r>
          <a:r>
            <a:rPr lang="en-US" sz="6600" b="1" baseline="0">
              <a:solidFill>
                <a:schemeClr val="accent5">
                  <a:lumMod val="75000"/>
                </a:schemeClr>
              </a:solidFill>
            </a:rPr>
            <a:t> Dashboard</a:t>
          </a:r>
          <a:endParaRPr lang="en-US" sz="66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5442</xdr:colOff>
      <xdr:row>12</xdr:row>
      <xdr:rowOff>163284</xdr:rowOff>
    </xdr:from>
    <xdr:to>
      <xdr:col>24</xdr:col>
      <xdr:colOff>5442</xdr:colOff>
      <xdr:row>28</xdr:row>
      <xdr:rowOff>87084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F3C9B7-3868-4934-8AE2-A9042F266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647701</xdr:colOff>
      <xdr:row>12</xdr:row>
      <xdr:rowOff>163287</xdr:rowOff>
    </xdr:from>
    <xdr:to>
      <xdr:col>15</xdr:col>
      <xdr:colOff>1</xdr:colOff>
      <xdr:row>28</xdr:row>
      <xdr:rowOff>70759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FD1401-2818-4209-9FDD-5BCCB390A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16328</xdr:colOff>
      <xdr:row>12</xdr:row>
      <xdr:rowOff>141514</xdr:rowOff>
    </xdr:from>
    <xdr:to>
      <xdr:col>7</xdr:col>
      <xdr:colOff>16328</xdr:colOff>
      <xdr:row>28</xdr:row>
      <xdr:rowOff>92532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473F02-D420-4B10-8B34-F4DA4BF84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598715</xdr:colOff>
      <xdr:row>28</xdr:row>
      <xdr:rowOff>92528</xdr:rowOff>
    </xdr:from>
    <xdr:to>
      <xdr:col>15</xdr:col>
      <xdr:colOff>326571</xdr:colOff>
      <xdr:row>42</xdr:row>
      <xdr:rowOff>152400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A54EBBD-26E3-8214-2E61-59753FF6F5FA}"/>
            </a:ext>
          </a:extLst>
        </xdr:cNvPr>
        <xdr:cNvSpPr/>
      </xdr:nvSpPr>
      <xdr:spPr>
        <a:xfrm>
          <a:off x="4517572" y="5274128"/>
          <a:ext cx="5606142" cy="2650672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i="0" u="sng">
              <a:solidFill>
                <a:schemeClr val="accent1"/>
              </a:solidFill>
            </a:rPr>
            <a:t>INSIGHTS</a:t>
          </a:r>
        </a:p>
        <a:p>
          <a:pPr algn="l"/>
          <a:r>
            <a:rPr lang="en-US" sz="1600" b="1" i="1" u="none">
              <a:solidFill>
                <a:schemeClr val="accent2"/>
              </a:solidFill>
            </a:rPr>
            <a:t>.</a:t>
          </a:r>
          <a:r>
            <a:rPr lang="en-US" sz="1600" b="1" i="1" u="none" baseline="0">
              <a:solidFill>
                <a:schemeClr val="accent2"/>
              </a:solidFill>
            </a:rPr>
            <a:t> The Total Renevue monthly is $899.85 </a:t>
          </a:r>
        </a:p>
        <a:p>
          <a:pPr algn="l"/>
          <a:r>
            <a:rPr lang="en-US" sz="1600" b="1" i="1" u="none" baseline="0">
              <a:solidFill>
                <a:schemeClr val="accent2"/>
              </a:solidFill>
            </a:rPr>
            <a:t>. Churn Rate stands at 40% (6 customers cancelled)</a:t>
          </a:r>
        </a:p>
        <a:p>
          <a:pPr algn="l"/>
          <a:r>
            <a:rPr lang="en-US" sz="1600" b="1" i="1" u="none" baseline="0">
              <a:solidFill>
                <a:schemeClr val="accent2"/>
              </a:solidFill>
            </a:rPr>
            <a:t>.Cancelled Customer filled more Support Ticket than Active users (7.7 vs 1.8 avg)</a:t>
          </a:r>
        </a:p>
        <a:p>
          <a:pPr algn="l"/>
          <a:r>
            <a:rPr lang="en-US" sz="1600" b="1" i="1" u="none" baseline="0">
              <a:solidFill>
                <a:schemeClr val="accent2"/>
              </a:solidFill>
            </a:rPr>
            <a:t>.Technical Bug and Poor Support together accounts for a large share of cancellations not just the price (they feel they get lesser value for money paid)</a:t>
          </a:r>
        </a:p>
        <a:p>
          <a:pPr algn="l"/>
          <a:r>
            <a:rPr lang="en-US" sz="1600" b="1" i="1" u="none" baseline="0">
              <a:solidFill>
                <a:schemeClr val="accent2"/>
              </a:solidFill>
            </a:rPr>
            <a:t>.Cancellations were spread across all Plan Type</a:t>
          </a:r>
          <a:endParaRPr lang="en-US" sz="1600" b="1" i="1" u="none">
            <a:solidFill>
              <a:schemeClr val="accent2"/>
            </a:solidFill>
          </a:endParaRPr>
        </a:p>
      </xdr:txBody>
    </xdr:sp>
    <xdr:clientData/>
  </xdr:twoCellAnchor>
  <xdr:twoCellAnchor>
    <xdr:from>
      <xdr:col>15</xdr:col>
      <xdr:colOff>359229</xdr:colOff>
      <xdr:row>28</xdr:row>
      <xdr:rowOff>108858</xdr:rowOff>
    </xdr:from>
    <xdr:to>
      <xdr:col>24</xdr:col>
      <xdr:colOff>5442</xdr:colOff>
      <xdr:row>42</xdr:row>
      <xdr:rowOff>146957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3BBEF04C-67A5-D1BD-2F34-EF935648B56A}"/>
            </a:ext>
          </a:extLst>
        </xdr:cNvPr>
        <xdr:cNvSpPr/>
      </xdr:nvSpPr>
      <xdr:spPr>
        <a:xfrm>
          <a:off x="10156372" y="5290458"/>
          <a:ext cx="5524499" cy="262889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solidFill>
                <a:schemeClr val="accent1"/>
              </a:solidFill>
            </a:rPr>
            <a:t>RECOMMENDATIONS</a:t>
          </a:r>
        </a:p>
        <a:p>
          <a:pPr algn="l"/>
          <a:r>
            <a:rPr lang="en-US" sz="1600" b="1" i="1" u="none">
              <a:solidFill>
                <a:schemeClr val="accent2"/>
              </a:solidFill>
            </a:rPr>
            <a:t>.</a:t>
          </a:r>
          <a:r>
            <a:rPr lang="en-US" sz="1600" b="1" i="1" u="none" baseline="0">
              <a:solidFill>
                <a:schemeClr val="accent2"/>
              </a:solidFill>
            </a:rPr>
            <a:t> Prioritize Fixing Recurring Technical Bugs </a:t>
          </a:r>
        </a:p>
        <a:p>
          <a:pPr algn="l"/>
          <a:r>
            <a:rPr lang="en-US" sz="1600" b="1" i="1" u="none" baseline="0">
              <a:solidFill>
                <a:schemeClr val="accent2"/>
              </a:solidFill>
            </a:rPr>
            <a:t>.Improving Support Response Time (either by organizing a training for current staffs or getting qualified support staffs)</a:t>
          </a:r>
        </a:p>
        <a:p>
          <a:pPr algn="l"/>
          <a:r>
            <a:rPr lang="en-US" sz="1600" b="1" i="1" u="none" baseline="0">
              <a:solidFill>
                <a:schemeClr val="accent2"/>
              </a:solidFill>
            </a:rPr>
            <a:t>.Investigate low-usage Active Customers early (proactive Outreach) to increase engagement with customers </a:t>
          </a:r>
        </a:p>
        <a:p>
          <a:pPr algn="l"/>
          <a:r>
            <a:rPr lang="en-US" sz="1600" b="1" i="1" u="none" baseline="0">
              <a:solidFill>
                <a:schemeClr val="accent2"/>
              </a:solidFill>
            </a:rPr>
            <a:t>.Reaching out to Canceled users offering discounted price and upgraded services</a:t>
          </a:r>
          <a:endParaRPr lang="en-US" sz="1600" b="1" i="1" u="none">
            <a:solidFill>
              <a:schemeClr val="accent2"/>
            </a:solidFill>
          </a:endParaRPr>
        </a:p>
      </xdr:txBody>
    </xdr:sp>
    <xdr:clientData/>
  </xdr:twoCellAnchor>
  <xdr:twoCellAnchor>
    <xdr:from>
      <xdr:col>0</xdr:col>
      <xdr:colOff>0</xdr:colOff>
      <xdr:row>28</xdr:row>
      <xdr:rowOff>59872</xdr:rowOff>
    </xdr:from>
    <xdr:to>
      <xdr:col>6</xdr:col>
      <xdr:colOff>571500</xdr:colOff>
      <xdr:row>43</xdr:row>
      <xdr:rowOff>27215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2DE403-CCD8-46BD-BDFD-62B61F338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5443</xdr:colOff>
      <xdr:row>6</xdr:row>
      <xdr:rowOff>10885</xdr:rowOff>
    </xdr:from>
    <xdr:to>
      <xdr:col>9</xdr:col>
      <xdr:colOff>304799</xdr:colOff>
      <xdr:row>12</xdr:row>
      <xdr:rowOff>141514</xdr:rowOff>
    </xdr:to>
    <xdr:sp macro="" textlink="">
      <xdr:nvSpPr>
        <xdr:cNvPr id="8" name="Rectangle: Single Corner Snipped 7">
          <a:extLst>
            <a:ext uri="{FF2B5EF4-FFF2-40B4-BE49-F238E27FC236}">
              <a16:creationId xmlns:a16="http://schemas.microsoft.com/office/drawing/2014/main" id="{B2DD538F-B59E-D33B-32EC-233F59E6E134}"/>
            </a:ext>
          </a:extLst>
        </xdr:cNvPr>
        <xdr:cNvSpPr/>
      </xdr:nvSpPr>
      <xdr:spPr>
        <a:xfrm>
          <a:off x="3924300" y="1121228"/>
          <a:ext cx="2258785" cy="1240972"/>
        </a:xfrm>
        <a:prstGeom prst="snip1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solidFill>
                <a:schemeClr val="accent1"/>
              </a:solidFill>
            </a:rPr>
            <a:t>ChurnRate</a:t>
          </a:r>
        </a:p>
        <a:p>
          <a:pPr algn="ctr"/>
          <a:r>
            <a:rPr lang="en-US" sz="2800" b="1" i="1" u="none">
              <a:solidFill>
                <a:schemeClr val="accent2"/>
              </a:solidFill>
            </a:rPr>
            <a:t>40%</a:t>
          </a:r>
        </a:p>
      </xdr:txBody>
    </xdr:sp>
    <xdr:clientData/>
  </xdr:twoCellAnchor>
  <xdr:twoCellAnchor>
    <xdr:from>
      <xdr:col>0</xdr:col>
      <xdr:colOff>38100</xdr:colOff>
      <xdr:row>6</xdr:row>
      <xdr:rowOff>27214</xdr:rowOff>
    </xdr:from>
    <xdr:to>
      <xdr:col>3</xdr:col>
      <xdr:colOff>5442</xdr:colOff>
      <xdr:row>12</xdr:row>
      <xdr:rowOff>157843</xdr:rowOff>
    </xdr:to>
    <xdr:sp macro="" textlink="">
      <xdr:nvSpPr>
        <xdr:cNvPr id="9" name="Rectangle: Single Corner Snipped 8">
          <a:extLst>
            <a:ext uri="{FF2B5EF4-FFF2-40B4-BE49-F238E27FC236}">
              <a16:creationId xmlns:a16="http://schemas.microsoft.com/office/drawing/2014/main" id="{A0DD3F12-1FE4-6760-FB78-C38AE289FC8D}"/>
            </a:ext>
          </a:extLst>
        </xdr:cNvPr>
        <xdr:cNvSpPr/>
      </xdr:nvSpPr>
      <xdr:spPr>
        <a:xfrm>
          <a:off x="38100" y="1137557"/>
          <a:ext cx="1926771" cy="1240972"/>
        </a:xfrm>
        <a:prstGeom prst="snip1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solidFill>
                <a:schemeClr val="accent1"/>
              </a:solidFill>
            </a:rPr>
            <a:t>Total</a:t>
          </a:r>
          <a:r>
            <a:rPr lang="en-US" sz="2000" b="1" u="sng" baseline="0">
              <a:solidFill>
                <a:schemeClr val="accent1"/>
              </a:solidFill>
            </a:rPr>
            <a:t> Cutomers</a:t>
          </a:r>
        </a:p>
        <a:p>
          <a:pPr algn="ctr"/>
          <a:r>
            <a:rPr lang="en-US" sz="2800" b="1" i="1" u="none" baseline="0">
              <a:solidFill>
                <a:schemeClr val="accent2"/>
              </a:solidFill>
            </a:rPr>
            <a:t>15</a:t>
          </a:r>
          <a:endParaRPr lang="en-US" sz="2800" b="1" i="1" u="none">
            <a:solidFill>
              <a:schemeClr val="accent2"/>
            </a:solidFill>
          </a:endParaRPr>
        </a:p>
      </xdr:txBody>
    </xdr:sp>
    <xdr:clientData/>
  </xdr:twoCellAnchor>
  <xdr:twoCellAnchor>
    <xdr:from>
      <xdr:col>3</xdr:col>
      <xdr:colOff>10884</xdr:colOff>
      <xdr:row>6</xdr:row>
      <xdr:rowOff>0</xdr:rowOff>
    </xdr:from>
    <xdr:to>
      <xdr:col>5</xdr:col>
      <xdr:colOff>625928</xdr:colOff>
      <xdr:row>12</xdr:row>
      <xdr:rowOff>146957</xdr:rowOff>
    </xdr:to>
    <xdr:sp macro="" textlink="">
      <xdr:nvSpPr>
        <xdr:cNvPr id="10" name="Rectangle: Single Corner Snipped 9">
          <a:extLst>
            <a:ext uri="{FF2B5EF4-FFF2-40B4-BE49-F238E27FC236}">
              <a16:creationId xmlns:a16="http://schemas.microsoft.com/office/drawing/2014/main" id="{43A01C7D-A510-3BE1-40C7-FE337CE717FB}"/>
            </a:ext>
          </a:extLst>
        </xdr:cNvPr>
        <xdr:cNvSpPr/>
      </xdr:nvSpPr>
      <xdr:spPr>
        <a:xfrm>
          <a:off x="1970313" y="1110343"/>
          <a:ext cx="1921329" cy="1257300"/>
        </a:xfrm>
        <a:prstGeom prst="snip1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solidFill>
                <a:schemeClr val="accent1"/>
              </a:solidFill>
            </a:rPr>
            <a:t>Total</a:t>
          </a:r>
          <a:r>
            <a:rPr lang="en-US" sz="2000" b="1" u="sng" baseline="0">
              <a:solidFill>
                <a:schemeClr val="accent1"/>
              </a:solidFill>
            </a:rPr>
            <a:t> Cancelled</a:t>
          </a:r>
        </a:p>
        <a:p>
          <a:pPr algn="ctr"/>
          <a:r>
            <a:rPr lang="en-US" sz="2800" b="1" i="1" u="none">
              <a:solidFill>
                <a:schemeClr val="accent2"/>
              </a:solidFill>
            </a:rPr>
            <a:t>6</a:t>
          </a:r>
        </a:p>
      </xdr:txBody>
    </xdr:sp>
    <xdr:clientData/>
  </xdr:twoCellAnchor>
  <xdr:twoCellAnchor>
    <xdr:from>
      <xdr:col>13</xdr:col>
      <xdr:colOff>48986</xdr:colOff>
      <xdr:row>6</xdr:row>
      <xdr:rowOff>5444</xdr:rowOff>
    </xdr:from>
    <xdr:to>
      <xdr:col>16</xdr:col>
      <xdr:colOff>457201</xdr:colOff>
      <xdr:row>12</xdr:row>
      <xdr:rowOff>146957</xdr:rowOff>
    </xdr:to>
    <xdr:sp macro="" textlink="">
      <xdr:nvSpPr>
        <xdr:cNvPr id="11" name="Rectangle: Single Corner Snipped 10">
          <a:extLst>
            <a:ext uri="{FF2B5EF4-FFF2-40B4-BE49-F238E27FC236}">
              <a16:creationId xmlns:a16="http://schemas.microsoft.com/office/drawing/2014/main" id="{A0EC6808-80C1-CE8C-AB13-CAB087E34BEB}"/>
            </a:ext>
          </a:extLst>
        </xdr:cNvPr>
        <xdr:cNvSpPr/>
      </xdr:nvSpPr>
      <xdr:spPr>
        <a:xfrm>
          <a:off x="8539843" y="1115787"/>
          <a:ext cx="2367644" cy="1251856"/>
        </a:xfrm>
        <a:prstGeom prst="snip1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solidFill>
                <a:schemeClr val="accent1"/>
              </a:solidFill>
            </a:rPr>
            <a:t>MRR for Active</a:t>
          </a:r>
        </a:p>
        <a:p>
          <a:pPr algn="ctr"/>
          <a:r>
            <a:rPr lang="en-US" sz="2800" b="1" i="1" u="none">
              <a:solidFill>
                <a:schemeClr val="accent2"/>
              </a:solidFill>
            </a:rPr>
            <a:t>$559.91</a:t>
          </a:r>
        </a:p>
      </xdr:txBody>
    </xdr:sp>
    <xdr:clientData/>
  </xdr:twoCellAnchor>
  <xdr:twoCellAnchor>
    <xdr:from>
      <xdr:col>16</xdr:col>
      <xdr:colOff>489856</xdr:colOff>
      <xdr:row>6</xdr:row>
      <xdr:rowOff>16329</xdr:rowOff>
    </xdr:from>
    <xdr:to>
      <xdr:col>20</xdr:col>
      <xdr:colOff>195943</xdr:colOff>
      <xdr:row>12</xdr:row>
      <xdr:rowOff>152400</xdr:rowOff>
    </xdr:to>
    <xdr:sp macro="" textlink="">
      <xdr:nvSpPr>
        <xdr:cNvPr id="12" name="Rectangle: Single Corner Snipped 11">
          <a:extLst>
            <a:ext uri="{FF2B5EF4-FFF2-40B4-BE49-F238E27FC236}">
              <a16:creationId xmlns:a16="http://schemas.microsoft.com/office/drawing/2014/main" id="{7AD2D5A3-FDAD-7D2F-A0F7-F5C8D2E18305}"/>
            </a:ext>
          </a:extLst>
        </xdr:cNvPr>
        <xdr:cNvSpPr/>
      </xdr:nvSpPr>
      <xdr:spPr>
        <a:xfrm>
          <a:off x="10940142" y="1126672"/>
          <a:ext cx="2318658" cy="1246414"/>
        </a:xfrm>
        <a:prstGeom prst="snip1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solidFill>
                <a:schemeClr val="accent1"/>
              </a:solidFill>
            </a:rPr>
            <a:t>MRR</a:t>
          </a:r>
          <a:r>
            <a:rPr lang="en-US" sz="2000" b="1" u="sng" baseline="0">
              <a:solidFill>
                <a:schemeClr val="accent1"/>
              </a:solidFill>
            </a:rPr>
            <a:t> for Cancelled</a:t>
          </a:r>
        </a:p>
        <a:p>
          <a:pPr algn="ctr"/>
          <a:r>
            <a:rPr lang="en-US" sz="2800" b="1" i="1" u="none">
              <a:solidFill>
                <a:schemeClr val="accent2"/>
              </a:solidFill>
            </a:rPr>
            <a:t>$339.94</a:t>
          </a:r>
        </a:p>
      </xdr:txBody>
    </xdr:sp>
    <xdr:clientData/>
  </xdr:twoCellAnchor>
  <xdr:twoCellAnchor>
    <xdr:from>
      <xdr:col>9</xdr:col>
      <xdr:colOff>353787</xdr:colOff>
      <xdr:row>6</xdr:row>
      <xdr:rowOff>16328</xdr:rowOff>
    </xdr:from>
    <xdr:to>
      <xdr:col>13</xdr:col>
      <xdr:colOff>0</xdr:colOff>
      <xdr:row>12</xdr:row>
      <xdr:rowOff>157842</xdr:rowOff>
    </xdr:to>
    <xdr:sp macro="" textlink="">
      <xdr:nvSpPr>
        <xdr:cNvPr id="13" name="Rectangle: Single Corner Snipped 12">
          <a:extLst>
            <a:ext uri="{FF2B5EF4-FFF2-40B4-BE49-F238E27FC236}">
              <a16:creationId xmlns:a16="http://schemas.microsoft.com/office/drawing/2014/main" id="{6E701C1A-3CE3-3547-E4D4-28F1E65ABAF7}"/>
            </a:ext>
          </a:extLst>
        </xdr:cNvPr>
        <xdr:cNvSpPr/>
      </xdr:nvSpPr>
      <xdr:spPr>
        <a:xfrm>
          <a:off x="6232073" y="1126671"/>
          <a:ext cx="2258784" cy="1251857"/>
        </a:xfrm>
        <a:prstGeom prst="snip1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solidFill>
                <a:schemeClr val="accent1"/>
              </a:solidFill>
            </a:rPr>
            <a:t>Total MonthlyFee</a:t>
          </a:r>
        </a:p>
        <a:p>
          <a:pPr algn="ctr"/>
          <a:r>
            <a:rPr lang="en-US" sz="2800" b="1" i="1" u="none">
              <a:solidFill>
                <a:schemeClr val="accent2"/>
              </a:solidFill>
            </a:rPr>
            <a:t>$899.85</a:t>
          </a:r>
        </a:p>
      </xdr:txBody>
    </xdr:sp>
    <xdr:clientData/>
  </xdr:twoCellAnchor>
  <xdr:twoCellAnchor>
    <xdr:from>
      <xdr:col>20</xdr:col>
      <xdr:colOff>228601</xdr:colOff>
      <xdr:row>5</xdr:row>
      <xdr:rowOff>168728</xdr:rowOff>
    </xdr:from>
    <xdr:to>
      <xdr:col>24</xdr:col>
      <xdr:colOff>0</xdr:colOff>
      <xdr:row>12</xdr:row>
      <xdr:rowOff>152400</xdr:rowOff>
    </xdr:to>
    <xdr:sp macro="" textlink="">
      <xdr:nvSpPr>
        <xdr:cNvPr id="16" name="Rectangle: Single Corner Snipped 15">
          <a:extLst>
            <a:ext uri="{FF2B5EF4-FFF2-40B4-BE49-F238E27FC236}">
              <a16:creationId xmlns:a16="http://schemas.microsoft.com/office/drawing/2014/main" id="{43BA4119-D7A9-DE6C-506D-B0901BFFA0BB}"/>
            </a:ext>
          </a:extLst>
        </xdr:cNvPr>
        <xdr:cNvSpPr/>
      </xdr:nvSpPr>
      <xdr:spPr>
        <a:xfrm>
          <a:off x="13291458" y="1094014"/>
          <a:ext cx="2383971" cy="1279072"/>
        </a:xfrm>
        <a:prstGeom prst="snip1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solidFill>
                <a:schemeClr val="accent1"/>
              </a:solidFill>
            </a:rPr>
            <a:t>Avg SupportTicket</a:t>
          </a:r>
        </a:p>
        <a:p>
          <a:pPr algn="ctr"/>
          <a:r>
            <a:rPr lang="en-US" sz="2800" b="1" i="1" u="none">
              <a:solidFill>
                <a:schemeClr val="accent2"/>
              </a:solidFill>
            </a:rPr>
            <a:t>4.13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0.798280092589" createdVersion="8" refreshedVersion="8" minRefreshableVersion="3" recordCount="15" xr:uid="{E222ED72-ED4C-41A6-9B3E-9FFC2AD3C410}">
  <cacheSource type="worksheet">
    <worksheetSource name="Table1"/>
  </cacheSource>
  <cacheFields count="11">
    <cacheField name="CustomerID" numFmtId="0">
      <sharedItems containsSemiMixedTypes="0" containsString="0" containsNumber="1" containsInteger="1" minValue="1001" maxValue="1015" count="15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</sharedItems>
    </cacheField>
    <cacheField name="JoinDate" numFmtId="14">
      <sharedItems containsSemiMixedTypes="0" containsNonDate="0" containsDate="1" containsString="0" minDate="2025-01-15T00:00:00" maxDate="2025-07-26T00:00:00" count="15">
        <d v="2025-01-15T00:00:00"/>
        <d v="2025-01-20T00:00:00"/>
        <d v="2025-02-01T00:00:00"/>
        <d v="2025-02-12T00:00:00"/>
        <d v="2025-03-03T00:00:00"/>
        <d v="2025-03-19T00:00:00"/>
        <d v="2025-04-01T00:00:00"/>
        <d v="2025-04-10T00:00:00"/>
        <d v="2025-05-05T00:00:00"/>
        <d v="2025-05-22T00:00:00"/>
        <d v="2025-06-01T00:00:00"/>
        <d v="2025-06-15T00:00:00"/>
        <d v="2025-07-02T00:00:00"/>
        <d v="2025-07-11T00:00:00"/>
        <d v="2025-07-25T00:00:00"/>
      </sharedItems>
      <fieldGroup par="10"/>
    </cacheField>
    <cacheField name="PlanType" numFmtId="0">
      <sharedItems count="3">
        <s v="Basic"/>
        <s v="Premium"/>
        <s v="Standard"/>
      </sharedItems>
    </cacheField>
    <cacheField name="MonthlyFee" numFmtId="164">
      <sharedItems containsSemiMixedTypes="0" containsString="0" containsNumber="1" minValue="29.99" maxValue="99.99" count="3">
        <n v="29.99"/>
        <n v="99.99"/>
        <n v="49.99"/>
      </sharedItems>
    </cacheField>
    <cacheField name="SupportTickets" numFmtId="0">
      <sharedItems containsSemiMixedTypes="0" containsString="0" containsNumber="1" containsInteger="1" minValue="0" maxValue="11" count="11">
        <n v="3"/>
        <n v="8"/>
        <n v="1"/>
        <n v="5"/>
        <n v="2"/>
        <n v="0"/>
        <n v="9"/>
        <n v="4"/>
        <n v="6"/>
        <n v="11"/>
        <n v="7"/>
      </sharedItems>
    </cacheField>
    <cacheField name="UsageHours" numFmtId="0">
      <sharedItems containsSemiMixedTypes="0" containsString="0" containsNumber="1" containsInteger="1" minValue="5" maxValue="190" count="15">
        <n v="45"/>
        <n v="120"/>
        <n v="85"/>
        <n v="12"/>
        <n v="150"/>
        <n v="90"/>
        <n v="5"/>
        <n v="65"/>
        <n v="190"/>
        <n v="8"/>
        <n v="75"/>
        <n v="40"/>
        <n v="50"/>
        <n v="30"/>
        <n v="165"/>
      </sharedItems>
    </cacheField>
    <cacheField name="LastLoginDaysAgo" numFmtId="0">
      <sharedItems containsSemiMixedTypes="0" containsString="0" containsNumber="1" containsInteger="1" minValue="0" maxValue="45" count="12">
        <n v="2"/>
        <n v="25"/>
        <n v="1"/>
        <n v="14"/>
        <n v="0"/>
        <n v="4"/>
        <n v="45"/>
        <n v="3"/>
        <n v="30"/>
        <n v="6"/>
        <n v="18"/>
        <n v="12"/>
      </sharedItems>
    </cacheField>
    <cacheField name="Status" numFmtId="0">
      <sharedItems count="2">
        <s v="Active"/>
        <s v="Cancelled"/>
      </sharedItems>
    </cacheField>
    <cacheField name="ChurnReason" numFmtId="0">
      <sharedItems count="4">
        <s v="None"/>
        <s v="Technical Bugs"/>
        <s v="Too Expensive"/>
        <s v="Poor Support"/>
      </sharedItems>
    </cacheField>
    <cacheField name="Days (JoinDate)" numFmtId="0" databaseField="0">
      <fieldGroup base="1">
        <rangePr groupBy="days" startDate="2025-01-15T00:00:00" endDate="2025-07-26T00:00:00"/>
        <groupItems count="368">
          <s v="&lt;1/15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6/2025"/>
        </groupItems>
      </fieldGroup>
    </cacheField>
    <cacheField name="Months (JoinDate)" numFmtId="0" databaseField="0">
      <fieldGroup base="1">
        <rangePr groupBy="months" startDate="2025-01-15T00:00:00" endDate="2025-07-26T00:00:00"/>
        <groupItems count="14">
          <s v="&lt;1/15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6/2025"/>
        </groupItems>
      </fieldGroup>
    </cacheField>
  </cacheFields>
  <extLst>
    <ext xmlns:x14="http://schemas.microsoft.com/office/spreadsheetml/2009/9/main" uri="{725AE2AE-9491-48be-B2B4-4EB974FC3084}">
      <x14:pivotCacheDefinition pivotCacheId="18009662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2"/>
    <x v="2"/>
    <x v="2"/>
    <x v="0"/>
    <x v="0"/>
  </r>
  <r>
    <x v="3"/>
    <x v="3"/>
    <x v="0"/>
    <x v="0"/>
    <x v="3"/>
    <x v="3"/>
    <x v="3"/>
    <x v="1"/>
    <x v="2"/>
  </r>
  <r>
    <x v="4"/>
    <x v="4"/>
    <x v="1"/>
    <x v="1"/>
    <x v="4"/>
    <x v="4"/>
    <x v="4"/>
    <x v="0"/>
    <x v="0"/>
  </r>
  <r>
    <x v="5"/>
    <x v="5"/>
    <x v="2"/>
    <x v="2"/>
    <x v="5"/>
    <x v="5"/>
    <x v="5"/>
    <x v="0"/>
    <x v="0"/>
  </r>
  <r>
    <x v="6"/>
    <x v="6"/>
    <x v="0"/>
    <x v="0"/>
    <x v="6"/>
    <x v="6"/>
    <x v="6"/>
    <x v="1"/>
    <x v="3"/>
  </r>
  <r>
    <x v="7"/>
    <x v="7"/>
    <x v="2"/>
    <x v="2"/>
    <x v="7"/>
    <x v="7"/>
    <x v="7"/>
    <x v="0"/>
    <x v="0"/>
  </r>
  <r>
    <x v="8"/>
    <x v="8"/>
    <x v="1"/>
    <x v="1"/>
    <x v="2"/>
    <x v="8"/>
    <x v="2"/>
    <x v="0"/>
    <x v="0"/>
  </r>
  <r>
    <x v="9"/>
    <x v="9"/>
    <x v="0"/>
    <x v="0"/>
    <x v="8"/>
    <x v="9"/>
    <x v="8"/>
    <x v="1"/>
    <x v="2"/>
  </r>
  <r>
    <x v="10"/>
    <x v="10"/>
    <x v="2"/>
    <x v="2"/>
    <x v="4"/>
    <x v="10"/>
    <x v="9"/>
    <x v="0"/>
    <x v="0"/>
  </r>
  <r>
    <x v="11"/>
    <x v="11"/>
    <x v="1"/>
    <x v="1"/>
    <x v="9"/>
    <x v="11"/>
    <x v="10"/>
    <x v="1"/>
    <x v="1"/>
  </r>
  <r>
    <x v="12"/>
    <x v="12"/>
    <x v="0"/>
    <x v="0"/>
    <x v="5"/>
    <x v="12"/>
    <x v="0"/>
    <x v="0"/>
    <x v="0"/>
  </r>
  <r>
    <x v="13"/>
    <x v="13"/>
    <x v="2"/>
    <x v="2"/>
    <x v="10"/>
    <x v="13"/>
    <x v="11"/>
    <x v="1"/>
    <x v="3"/>
  </r>
  <r>
    <x v="14"/>
    <x v="14"/>
    <x v="1"/>
    <x v="1"/>
    <x v="0"/>
    <x v="14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33BAC-2135-4EF4-91C1-5460CD740EB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1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showAll="0"/>
    <pivotField showAll="0"/>
    <pivotField dataField="1" showAll="0">
      <items count="3">
        <item h="1"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A733D-F2F2-401E-B775-D566620669CD}" name="Table1" displayName="Table1" ref="A1:I16" headerRowDxfId="20" dataDxfId="19" totalsRowDxfId="18">
  <tableColumns count="9">
    <tableColumn id="1" xr3:uid="{22A90603-A582-44E1-B98D-E56D4A1F023B}" name="CustomerID" totalsRowFunction="custom" dataDxfId="17" totalsRowDxfId="16">
      <totalsRowFormula>COUNT(Table1[CustomerID])</totalsRowFormula>
    </tableColumn>
    <tableColumn id="2" xr3:uid="{59811B4D-5E23-4123-A528-EF1E5153974F}" name="JoinDate" dataDxfId="15" totalsRowDxfId="14"/>
    <tableColumn id="3" xr3:uid="{90F47C20-8287-4AAB-BFE5-F457FF767306}" name="PlanType" dataDxfId="13" totalsRowDxfId="12"/>
    <tableColumn id="4" xr3:uid="{459F4E07-E9B5-4454-AB06-3AE5076C935A}" name="MonthlyFee" totalsRowFunction="custom" dataDxfId="11" totalsRowDxfId="10">
      <totalsRowFormula>SUM(Table1[MonthlyFee])</totalsRowFormula>
    </tableColumn>
    <tableColumn id="5" xr3:uid="{24570ABA-D9C2-4806-AF83-1BB788FD32F1}" name="SupportTickets" dataDxfId="9" totalsRowDxfId="8"/>
    <tableColumn id="6" xr3:uid="{99E36275-5CC7-407E-B4CF-2C9629768BEC}" name="UsageHours" dataDxfId="7" totalsRowDxfId="6"/>
    <tableColumn id="7" xr3:uid="{0B7B6E81-0BAE-4E68-8CE9-1F892F044A0E}" name="LastLoginDaysAgo" dataDxfId="5" totalsRowDxfId="4"/>
    <tableColumn id="8" xr3:uid="{6B889B03-B9D4-4DA4-A67C-582DDFBC0BE8}" name="Status" dataDxfId="3" totalsRowDxfId="2"/>
    <tableColumn id="9" xr3:uid="{A513E8A3-A9A3-4262-BDF0-1DFC8E291FEB}" name="ChurnReason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527A-BF75-44F9-87BC-8E04298ECEA9}">
  <dimension ref="A1:O60"/>
  <sheetViews>
    <sheetView tabSelected="1" topLeftCell="A14" zoomScaleNormal="100" workbookViewId="0">
      <selection activeCell="B46" sqref="B46"/>
    </sheetView>
  </sheetViews>
  <sheetFormatPr defaultRowHeight="14.6" x14ac:dyDescent="0.4"/>
  <cols>
    <col min="1" max="1" width="17.23046875" style="1" customWidth="1"/>
    <col min="2" max="2" width="14.69140625" style="1" customWidth="1"/>
    <col min="3" max="3" width="13.3046875" style="1" customWidth="1"/>
    <col min="4" max="4" width="12.69140625" style="1" customWidth="1"/>
    <col min="5" max="5" width="15" style="1" customWidth="1"/>
    <col min="6" max="6" width="13.921875" style="1" customWidth="1"/>
    <col min="7" max="7" width="17.53515625" style="1" customWidth="1"/>
    <col min="8" max="8" width="9.23046875" style="1"/>
    <col min="9" max="9" width="13.765625" style="1" customWidth="1"/>
    <col min="10" max="11" width="9.23046875" style="1"/>
    <col min="12" max="12" width="18.3828125" style="1" customWidth="1"/>
    <col min="13" max="13" width="17.4609375" style="1" customWidth="1"/>
    <col min="14" max="14" width="20" style="1" customWidth="1"/>
    <col min="15" max="15" width="16.3046875" style="1" customWidth="1"/>
    <col min="16" max="16384" width="9.23046875" style="1"/>
  </cols>
  <sheetData>
    <row r="1" spans="1:15" x14ac:dyDescent="0.4">
      <c r="A1" s="1" t="s">
        <v>1</v>
      </c>
      <c r="B1" s="1" t="s">
        <v>2</v>
      </c>
      <c r="C1" s="1" t="s">
        <v>3</v>
      </c>
      <c r="D1" s="3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L1" s="1" t="s">
        <v>31</v>
      </c>
      <c r="M1" s="1" t="s">
        <v>29</v>
      </c>
      <c r="N1" s="1" t="s">
        <v>30</v>
      </c>
      <c r="O1" s="1" t="s">
        <v>32</v>
      </c>
    </row>
    <row r="2" spans="1:15" x14ac:dyDescent="0.4">
      <c r="A2" s="1">
        <v>1001</v>
      </c>
      <c r="B2" s="2">
        <v>45672</v>
      </c>
      <c r="C2" s="1" t="s">
        <v>10</v>
      </c>
      <c r="D2" s="3">
        <v>29.99</v>
      </c>
      <c r="E2" s="1">
        <v>3</v>
      </c>
      <c r="F2" s="1">
        <v>45</v>
      </c>
      <c r="G2" s="1">
        <v>2</v>
      </c>
      <c r="H2" s="1" t="s">
        <v>11</v>
      </c>
      <c r="I2" s="1" t="s">
        <v>12</v>
      </c>
      <c r="L2" s="1">
        <f>IF($H2="Active",F2,"")</f>
        <v>45</v>
      </c>
      <c r="M2" s="1">
        <f>IF($H2="active",E2,"")</f>
        <v>3</v>
      </c>
      <c r="N2" s="1" t="str">
        <f>IF($H2="Cancelled",F2,"")</f>
        <v/>
      </c>
      <c r="O2" s="1" t="str">
        <f>IF($H2="Cancelled",E2,"")</f>
        <v/>
      </c>
    </row>
    <row r="3" spans="1:15" x14ac:dyDescent="0.4">
      <c r="A3" s="1">
        <v>1002</v>
      </c>
      <c r="B3" s="2">
        <v>45677</v>
      </c>
      <c r="C3" s="1" t="s">
        <v>13</v>
      </c>
      <c r="D3" s="3">
        <v>99.99</v>
      </c>
      <c r="E3" s="1">
        <v>8</v>
      </c>
      <c r="F3" s="1">
        <v>120</v>
      </c>
      <c r="G3" s="1">
        <v>25</v>
      </c>
      <c r="H3" s="1" t="s">
        <v>14</v>
      </c>
      <c r="I3" s="1" t="s">
        <v>15</v>
      </c>
      <c r="L3" s="1" t="str">
        <f t="shared" ref="L3:L16" si="0">IF($H3="Active",F3,"")</f>
        <v/>
      </c>
      <c r="M3" s="1" t="str">
        <f t="shared" ref="M3:M16" si="1">IF($H3="active",E3,"")</f>
        <v/>
      </c>
      <c r="N3" s="1">
        <f t="shared" ref="N3:N16" si="2">IF($H3="Cancelled",F3,"")</f>
        <v>120</v>
      </c>
      <c r="O3" s="1">
        <f t="shared" ref="O3:O16" si="3">IF($H3="Cancelled",E3,"")</f>
        <v>8</v>
      </c>
    </row>
    <row r="4" spans="1:15" x14ac:dyDescent="0.4">
      <c r="A4" s="1">
        <v>1003</v>
      </c>
      <c r="B4" s="2">
        <v>45689</v>
      </c>
      <c r="C4" s="1" t="s">
        <v>16</v>
      </c>
      <c r="D4" s="3">
        <v>49.99</v>
      </c>
      <c r="E4" s="1">
        <v>1</v>
      </c>
      <c r="F4" s="1">
        <v>85</v>
      </c>
      <c r="G4" s="1">
        <v>1</v>
      </c>
      <c r="H4" s="1" t="s">
        <v>11</v>
      </c>
      <c r="I4" s="1" t="s">
        <v>12</v>
      </c>
      <c r="L4" s="1">
        <f t="shared" si="0"/>
        <v>85</v>
      </c>
      <c r="M4" s="1">
        <f t="shared" si="1"/>
        <v>1</v>
      </c>
      <c r="N4" s="1" t="str">
        <f t="shared" si="2"/>
        <v/>
      </c>
      <c r="O4" s="1" t="str">
        <f t="shared" si="3"/>
        <v/>
      </c>
    </row>
    <row r="5" spans="1:15" x14ac:dyDescent="0.4">
      <c r="A5" s="1">
        <v>1004</v>
      </c>
      <c r="B5" s="2">
        <v>45700</v>
      </c>
      <c r="C5" s="1" t="s">
        <v>10</v>
      </c>
      <c r="D5" s="3">
        <v>29.99</v>
      </c>
      <c r="E5" s="1">
        <v>5</v>
      </c>
      <c r="F5" s="1">
        <v>12</v>
      </c>
      <c r="G5" s="1">
        <v>14</v>
      </c>
      <c r="H5" s="1" t="s">
        <v>14</v>
      </c>
      <c r="I5" s="1" t="s">
        <v>17</v>
      </c>
      <c r="L5" s="1" t="str">
        <f t="shared" si="0"/>
        <v/>
      </c>
      <c r="M5" s="1" t="str">
        <f t="shared" si="1"/>
        <v/>
      </c>
      <c r="N5" s="1">
        <f t="shared" si="2"/>
        <v>12</v>
      </c>
      <c r="O5" s="1">
        <f t="shared" si="3"/>
        <v>5</v>
      </c>
    </row>
    <row r="6" spans="1:15" x14ac:dyDescent="0.4">
      <c r="A6" s="1">
        <v>1005</v>
      </c>
      <c r="B6" s="2">
        <v>45719</v>
      </c>
      <c r="C6" s="1" t="s">
        <v>13</v>
      </c>
      <c r="D6" s="3">
        <v>99.99</v>
      </c>
      <c r="E6" s="1">
        <v>2</v>
      </c>
      <c r="F6" s="1">
        <v>150</v>
      </c>
      <c r="G6" s="1">
        <v>0</v>
      </c>
      <c r="H6" s="1" t="s">
        <v>11</v>
      </c>
      <c r="I6" s="1" t="s">
        <v>12</v>
      </c>
      <c r="L6" s="1">
        <f t="shared" si="0"/>
        <v>150</v>
      </c>
      <c r="M6" s="1">
        <f t="shared" si="1"/>
        <v>2</v>
      </c>
      <c r="N6" s="1" t="str">
        <f t="shared" si="2"/>
        <v/>
      </c>
      <c r="O6" s="1" t="str">
        <f t="shared" si="3"/>
        <v/>
      </c>
    </row>
    <row r="7" spans="1:15" x14ac:dyDescent="0.4">
      <c r="A7" s="1">
        <v>1006</v>
      </c>
      <c r="B7" s="2">
        <v>45735</v>
      </c>
      <c r="C7" s="1" t="s">
        <v>16</v>
      </c>
      <c r="D7" s="3">
        <v>49.99</v>
      </c>
      <c r="E7" s="1">
        <v>0</v>
      </c>
      <c r="F7" s="1">
        <v>90</v>
      </c>
      <c r="G7" s="1">
        <v>4</v>
      </c>
      <c r="H7" s="1" t="s">
        <v>11</v>
      </c>
      <c r="I7" s="1" t="s">
        <v>12</v>
      </c>
      <c r="L7" s="1">
        <f t="shared" si="0"/>
        <v>90</v>
      </c>
      <c r="M7" s="1">
        <f t="shared" si="1"/>
        <v>0</v>
      </c>
      <c r="N7" s="1" t="str">
        <f t="shared" si="2"/>
        <v/>
      </c>
      <c r="O7" s="1" t="str">
        <f t="shared" si="3"/>
        <v/>
      </c>
    </row>
    <row r="8" spans="1:15" x14ac:dyDescent="0.4">
      <c r="A8" s="1">
        <v>1007</v>
      </c>
      <c r="B8" s="2">
        <v>45748</v>
      </c>
      <c r="C8" s="1" t="s">
        <v>10</v>
      </c>
      <c r="D8" s="3">
        <v>29.99</v>
      </c>
      <c r="E8" s="1">
        <v>9</v>
      </c>
      <c r="F8" s="1">
        <v>5</v>
      </c>
      <c r="G8" s="1">
        <v>45</v>
      </c>
      <c r="H8" s="1" t="s">
        <v>14</v>
      </c>
      <c r="I8" s="1" t="s">
        <v>18</v>
      </c>
      <c r="L8" s="1" t="str">
        <f t="shared" si="0"/>
        <v/>
      </c>
      <c r="M8" s="1" t="str">
        <f t="shared" si="1"/>
        <v/>
      </c>
      <c r="N8" s="1">
        <f t="shared" si="2"/>
        <v>5</v>
      </c>
      <c r="O8" s="1">
        <f t="shared" si="3"/>
        <v>9</v>
      </c>
    </row>
    <row r="9" spans="1:15" x14ac:dyDescent="0.4">
      <c r="A9" s="1">
        <v>1008</v>
      </c>
      <c r="B9" s="2">
        <v>45757</v>
      </c>
      <c r="C9" s="1" t="s">
        <v>16</v>
      </c>
      <c r="D9" s="3">
        <v>49.99</v>
      </c>
      <c r="E9" s="1">
        <v>4</v>
      </c>
      <c r="F9" s="1">
        <v>65</v>
      </c>
      <c r="G9" s="1">
        <v>3</v>
      </c>
      <c r="H9" s="1" t="s">
        <v>11</v>
      </c>
      <c r="I9" s="1" t="s">
        <v>12</v>
      </c>
      <c r="L9" s="1">
        <f t="shared" si="0"/>
        <v>65</v>
      </c>
      <c r="M9" s="1">
        <f t="shared" si="1"/>
        <v>4</v>
      </c>
      <c r="N9" s="1" t="str">
        <f t="shared" si="2"/>
        <v/>
      </c>
      <c r="O9" s="1" t="str">
        <f t="shared" si="3"/>
        <v/>
      </c>
    </row>
    <row r="10" spans="1:15" x14ac:dyDescent="0.4">
      <c r="A10" s="1">
        <v>1009</v>
      </c>
      <c r="B10" s="2">
        <v>45782</v>
      </c>
      <c r="C10" s="1" t="s">
        <v>13</v>
      </c>
      <c r="D10" s="3">
        <v>99.99</v>
      </c>
      <c r="E10" s="1">
        <v>1</v>
      </c>
      <c r="F10" s="1">
        <v>190</v>
      </c>
      <c r="G10" s="1">
        <v>1</v>
      </c>
      <c r="H10" s="1" t="s">
        <v>11</v>
      </c>
      <c r="I10" s="1" t="s">
        <v>12</v>
      </c>
      <c r="L10" s="1">
        <f t="shared" si="0"/>
        <v>190</v>
      </c>
      <c r="M10" s="1">
        <f t="shared" si="1"/>
        <v>1</v>
      </c>
      <c r="N10" s="1" t="str">
        <f t="shared" si="2"/>
        <v/>
      </c>
      <c r="O10" s="1" t="str">
        <f t="shared" si="3"/>
        <v/>
      </c>
    </row>
    <row r="11" spans="1:15" x14ac:dyDescent="0.4">
      <c r="A11" s="1">
        <v>1010</v>
      </c>
      <c r="B11" s="2">
        <v>45799</v>
      </c>
      <c r="C11" s="1" t="s">
        <v>10</v>
      </c>
      <c r="D11" s="3">
        <v>29.99</v>
      </c>
      <c r="E11" s="1">
        <v>6</v>
      </c>
      <c r="F11" s="1">
        <v>8</v>
      </c>
      <c r="G11" s="1">
        <v>30</v>
      </c>
      <c r="H11" s="1" t="s">
        <v>14</v>
      </c>
      <c r="I11" s="1" t="s">
        <v>17</v>
      </c>
      <c r="L11" s="1" t="str">
        <f t="shared" si="0"/>
        <v/>
      </c>
      <c r="M11" s="1" t="str">
        <f t="shared" si="1"/>
        <v/>
      </c>
      <c r="N11" s="1">
        <f t="shared" si="2"/>
        <v>8</v>
      </c>
      <c r="O11" s="1">
        <f t="shared" si="3"/>
        <v>6</v>
      </c>
    </row>
    <row r="12" spans="1:15" x14ac:dyDescent="0.4">
      <c r="A12" s="1">
        <v>1011</v>
      </c>
      <c r="B12" s="2">
        <v>45809</v>
      </c>
      <c r="C12" s="1" t="s">
        <v>16</v>
      </c>
      <c r="D12" s="3">
        <v>49.99</v>
      </c>
      <c r="E12" s="1">
        <v>2</v>
      </c>
      <c r="F12" s="1">
        <v>75</v>
      </c>
      <c r="G12" s="1">
        <v>6</v>
      </c>
      <c r="H12" s="1" t="s">
        <v>11</v>
      </c>
      <c r="I12" s="1" t="s">
        <v>12</v>
      </c>
      <c r="L12" s="1">
        <f t="shared" si="0"/>
        <v>75</v>
      </c>
      <c r="M12" s="1">
        <f t="shared" si="1"/>
        <v>2</v>
      </c>
      <c r="N12" s="1" t="str">
        <f t="shared" si="2"/>
        <v/>
      </c>
      <c r="O12" s="1" t="str">
        <f t="shared" si="3"/>
        <v/>
      </c>
    </row>
    <row r="13" spans="1:15" x14ac:dyDescent="0.4">
      <c r="A13" s="1">
        <v>1012</v>
      </c>
      <c r="B13" s="2">
        <v>45823</v>
      </c>
      <c r="C13" s="1" t="s">
        <v>13</v>
      </c>
      <c r="D13" s="3">
        <v>99.99</v>
      </c>
      <c r="E13" s="1">
        <v>11</v>
      </c>
      <c r="F13" s="1">
        <v>40</v>
      </c>
      <c r="G13" s="1">
        <v>18</v>
      </c>
      <c r="H13" s="1" t="s">
        <v>14</v>
      </c>
      <c r="I13" s="1" t="s">
        <v>15</v>
      </c>
      <c r="L13" s="1" t="str">
        <f t="shared" si="0"/>
        <v/>
      </c>
      <c r="M13" s="1" t="str">
        <f t="shared" si="1"/>
        <v/>
      </c>
      <c r="N13" s="1">
        <f t="shared" si="2"/>
        <v>40</v>
      </c>
      <c r="O13" s="1">
        <f t="shared" si="3"/>
        <v>11</v>
      </c>
    </row>
    <row r="14" spans="1:15" x14ac:dyDescent="0.4">
      <c r="A14" s="1">
        <v>1013</v>
      </c>
      <c r="B14" s="2">
        <v>45840</v>
      </c>
      <c r="C14" s="1" t="s">
        <v>10</v>
      </c>
      <c r="D14" s="3">
        <v>29.99</v>
      </c>
      <c r="E14" s="1">
        <v>0</v>
      </c>
      <c r="F14" s="1">
        <v>50</v>
      </c>
      <c r="G14" s="1">
        <v>2</v>
      </c>
      <c r="H14" s="1" t="s">
        <v>11</v>
      </c>
      <c r="I14" s="1" t="s">
        <v>12</v>
      </c>
      <c r="L14" s="1">
        <f t="shared" si="0"/>
        <v>50</v>
      </c>
      <c r="M14" s="1">
        <f t="shared" si="1"/>
        <v>0</v>
      </c>
      <c r="N14" s="1" t="str">
        <f t="shared" si="2"/>
        <v/>
      </c>
      <c r="O14" s="1" t="str">
        <f t="shared" si="3"/>
        <v/>
      </c>
    </row>
    <row r="15" spans="1:15" x14ac:dyDescent="0.4">
      <c r="A15" s="1">
        <v>1014</v>
      </c>
      <c r="B15" s="2">
        <v>45849</v>
      </c>
      <c r="C15" s="1" t="s">
        <v>16</v>
      </c>
      <c r="D15" s="3">
        <v>49.99</v>
      </c>
      <c r="E15" s="1">
        <v>7</v>
      </c>
      <c r="F15" s="1">
        <v>30</v>
      </c>
      <c r="G15" s="1">
        <v>12</v>
      </c>
      <c r="H15" s="1" t="s">
        <v>14</v>
      </c>
      <c r="I15" s="1" t="s">
        <v>18</v>
      </c>
      <c r="L15" s="1" t="str">
        <f t="shared" si="0"/>
        <v/>
      </c>
      <c r="M15" s="1" t="str">
        <f t="shared" si="1"/>
        <v/>
      </c>
      <c r="N15" s="1">
        <f t="shared" si="2"/>
        <v>30</v>
      </c>
      <c r="O15" s="1">
        <f t="shared" si="3"/>
        <v>7</v>
      </c>
    </row>
    <row r="16" spans="1:15" x14ac:dyDescent="0.4">
      <c r="A16" s="1">
        <v>1015</v>
      </c>
      <c r="B16" s="2">
        <v>45863</v>
      </c>
      <c r="C16" s="1" t="s">
        <v>13</v>
      </c>
      <c r="D16" s="3">
        <v>99.99</v>
      </c>
      <c r="E16" s="1">
        <v>3</v>
      </c>
      <c r="F16" s="1">
        <v>165</v>
      </c>
      <c r="G16" s="1">
        <v>1</v>
      </c>
      <c r="H16" s="1" t="s">
        <v>11</v>
      </c>
      <c r="I16" s="1" t="s">
        <v>12</v>
      </c>
      <c r="L16" s="1">
        <f t="shared" si="0"/>
        <v>165</v>
      </c>
      <c r="M16" s="1">
        <f t="shared" si="1"/>
        <v>3</v>
      </c>
      <c r="N16" s="1" t="str">
        <f t="shared" si="2"/>
        <v/>
      </c>
      <c r="O16" s="1" t="str">
        <f t="shared" si="3"/>
        <v/>
      </c>
    </row>
    <row r="19" spans="1:3" x14ac:dyDescent="0.4">
      <c r="A19" s="1" t="s">
        <v>19</v>
      </c>
      <c r="B19" s="1" t="s">
        <v>20</v>
      </c>
      <c r="C19" s="1" t="s">
        <v>21</v>
      </c>
    </row>
    <row r="20" spans="1:3" x14ac:dyDescent="0.4">
      <c r="A20" s="1" t="s">
        <v>22</v>
      </c>
      <c r="B20" s="1">
        <f>ROUND(AVERAGEIF(Table1[Status],"active",E2:E16),2)</f>
        <v>1.78</v>
      </c>
      <c r="C20" s="1">
        <f>ROUND(AVERAGEIF(Table1[Status],"cancelled",Table1[SupportTickets]),2)</f>
        <v>7.67</v>
      </c>
    </row>
    <row r="21" spans="1:3" x14ac:dyDescent="0.4">
      <c r="A21" s="1" t="s">
        <v>23</v>
      </c>
      <c r="B21" s="1">
        <f>ROUND(AVERAGEIF(Table1[Status],"Active",Table1[UsageHours]),2)</f>
        <v>101.67</v>
      </c>
      <c r="C21" s="1">
        <f>ROUND(AVERAGEIF(Table1[Status],"cancelled",Table1[UsageHours]),2)</f>
        <v>35.83</v>
      </c>
    </row>
    <row r="30" spans="1:3" x14ac:dyDescent="0.4">
      <c r="C30" s="1" t="s">
        <v>0</v>
      </c>
    </row>
    <row r="36" spans="1:2" x14ac:dyDescent="0.4">
      <c r="A36" s="1" t="s">
        <v>9</v>
      </c>
      <c r="B36" s="7" t="s">
        <v>27</v>
      </c>
    </row>
    <row r="37" spans="1:2" x14ac:dyDescent="0.4">
      <c r="A37" s="1" t="s">
        <v>15</v>
      </c>
      <c r="B37" s="6">
        <f>COUNTIFS(Table1[ChurnReason],"technical bugs")/COUNTA(Table1[ChurnReason])</f>
        <v>0.13333333333333333</v>
      </c>
    </row>
    <row r="38" spans="1:2" x14ac:dyDescent="0.4">
      <c r="A38" s="1" t="s">
        <v>17</v>
      </c>
      <c r="B38" s="6">
        <f>COUNTIF(Table1[ChurnReason],"too expensive")/COUNTA(Table1[ChurnReason])</f>
        <v>0.13333333333333333</v>
      </c>
    </row>
    <row r="39" spans="1:2" x14ac:dyDescent="0.4">
      <c r="A39" s="1" t="s">
        <v>18</v>
      </c>
      <c r="B39" s="6">
        <f>COUNTIF(Table1[ChurnReason],"poor support")/COUNTA(Table1[ChurnReason])</f>
        <v>0.13333333333333333</v>
      </c>
    </row>
    <row r="40" spans="1:2" x14ac:dyDescent="0.4">
      <c r="A40" s="1" t="s">
        <v>12</v>
      </c>
      <c r="B40" s="6">
        <f>COUNTIF(Table1[ChurnReason],"none")/COUNTA(Table1[ChurnReason])</f>
        <v>0.6</v>
      </c>
    </row>
    <row r="42" spans="1:2" x14ac:dyDescent="0.4">
      <c r="B42" s="8"/>
    </row>
    <row r="43" spans="1:2" x14ac:dyDescent="0.4">
      <c r="A43" s="1" t="s">
        <v>40</v>
      </c>
      <c r="B43" s="8"/>
    </row>
    <row r="44" spans="1:2" x14ac:dyDescent="0.4">
      <c r="A44" s="1" t="s">
        <v>28</v>
      </c>
      <c r="B44" s="6">
        <f>COUNTIF(Table1[Status],"Cancelled")/COUNTA(Table1[Status])</f>
        <v>0.4</v>
      </c>
    </row>
    <row r="45" spans="1:2" x14ac:dyDescent="0.4">
      <c r="A45" s="1" t="s">
        <v>38</v>
      </c>
      <c r="B45" s="3">
        <f>SUMIF(Table1[Status], "cancelled", Table1[MonthlyFee])</f>
        <v>339.94</v>
      </c>
    </row>
    <row r="46" spans="1:2" x14ac:dyDescent="0.4">
      <c r="A46" s="1" t="s">
        <v>39</v>
      </c>
      <c r="B46" s="3">
        <f>SUMIF(Table1[Status],"active",Table1[MonthlyFee])</f>
        <v>559.91</v>
      </c>
    </row>
    <row r="47" spans="1:2" x14ac:dyDescent="0.4">
      <c r="A47" s="1" t="s">
        <v>33</v>
      </c>
      <c r="B47" s="1">
        <f>COUNT(Table1[CustomerID])</f>
        <v>15</v>
      </c>
    </row>
    <row r="48" spans="1:2" x14ac:dyDescent="0.4">
      <c r="A48" s="1" t="s">
        <v>34</v>
      </c>
      <c r="B48" s="3">
        <f>SUM(Table1[MonthlyFee])</f>
        <v>899.85</v>
      </c>
    </row>
    <row r="49" spans="1:2" x14ac:dyDescent="0.4">
      <c r="A49" s="1" t="s">
        <v>35</v>
      </c>
      <c r="B49" s="1">
        <f>ROUND(AVERAGE(Table1[SupportTickets]),2)</f>
        <v>4.13</v>
      </c>
    </row>
    <row r="50" spans="1:2" x14ac:dyDescent="0.4">
      <c r="A50" s="1" t="s">
        <v>37</v>
      </c>
      <c r="B50" s="1">
        <f>COUNTIF(Table1[Status],"cancelled")</f>
        <v>6</v>
      </c>
    </row>
    <row r="57" spans="1:2" x14ac:dyDescent="0.4">
      <c r="A57" s="1" t="s">
        <v>3</v>
      </c>
      <c r="B57" s="1" t="s">
        <v>36</v>
      </c>
    </row>
    <row r="58" spans="1:2" x14ac:dyDescent="0.4">
      <c r="A58" s="1" t="s">
        <v>10</v>
      </c>
      <c r="B58" s="1">
        <f>AVERAGEIF(Table1[PlanType],"Basic",Table1[UsageHours])</f>
        <v>24</v>
      </c>
    </row>
    <row r="59" spans="1:2" x14ac:dyDescent="0.4">
      <c r="A59" s="1" t="s">
        <v>16</v>
      </c>
      <c r="B59" s="1">
        <f>AVERAGEIF(Table1[PlanType],"Standard",Table1[UsageHours])</f>
        <v>69</v>
      </c>
    </row>
    <row r="60" spans="1:2" x14ac:dyDescent="0.4">
      <c r="A60" s="1" t="s">
        <v>13</v>
      </c>
      <c r="B60" s="1">
        <f>AVERAGEIF(Table1[PlanType],"premium",Table1[UsageHours])</f>
        <v>133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97C7-4EEC-4372-AAAF-342FC084380B}">
  <dimension ref="A3:B7"/>
  <sheetViews>
    <sheetView workbookViewId="0">
      <selection activeCell="D11" sqref="D11"/>
    </sheetView>
  </sheetViews>
  <sheetFormatPr defaultRowHeight="14.6" x14ac:dyDescent="0.4"/>
  <cols>
    <col min="1" max="1" width="12.3828125" bestFit="1" customWidth="1"/>
    <col min="2" max="2" width="13.69140625" bestFit="1" customWidth="1"/>
  </cols>
  <sheetData>
    <row r="3" spans="1:2" x14ac:dyDescent="0.4">
      <c r="A3" s="4" t="s">
        <v>24</v>
      </c>
      <c r="B3" t="s">
        <v>26</v>
      </c>
    </row>
    <row r="4" spans="1:2" x14ac:dyDescent="0.4">
      <c r="A4" s="5" t="s">
        <v>10</v>
      </c>
      <c r="B4">
        <v>5</v>
      </c>
    </row>
    <row r="5" spans="1:2" x14ac:dyDescent="0.4">
      <c r="A5" s="5" t="s">
        <v>13</v>
      </c>
      <c r="B5">
        <v>5</v>
      </c>
    </row>
    <row r="6" spans="1:2" x14ac:dyDescent="0.4">
      <c r="A6" s="5" t="s">
        <v>16</v>
      </c>
      <c r="B6">
        <v>5</v>
      </c>
    </row>
    <row r="7" spans="1:2" x14ac:dyDescent="0.4">
      <c r="A7" s="5" t="s">
        <v>25</v>
      </c>
      <c r="B7">
        <v>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42CB-AFC6-4F5E-AC6B-C064FE16BE0A}">
  <dimension ref="A1"/>
  <sheetViews>
    <sheetView zoomScale="90" zoomScaleNormal="90" workbookViewId="0">
      <selection activeCell="AA15" sqref="AA15"/>
    </sheetView>
  </sheetViews>
  <sheetFormatPr defaultRowHeight="14.6" x14ac:dyDescent="0.4"/>
  <cols>
    <col min="1" max="16384" width="9.23046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Dataset</vt:lpstr>
      <vt:lpstr>cancellation by plantype</vt:lpstr>
      <vt:lpstr>Dashboard</vt:lpstr>
      <vt:lpstr>Churnrate</vt:lpstr>
      <vt:lpstr>expensive</vt:lpstr>
      <vt:lpstr>none</vt:lpstr>
      <vt:lpstr>support</vt:lpstr>
      <vt:lpstr>technicalbugs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Adedeji</dc:creator>
  <cp:lastModifiedBy>Samuel Adedeji</cp:lastModifiedBy>
  <dcterms:created xsi:type="dcterms:W3CDTF">2026-07-27T11:34:52Z</dcterms:created>
  <dcterms:modified xsi:type="dcterms:W3CDTF">2026-08-12T16:05:53Z</dcterms:modified>
</cp:coreProperties>
</file>